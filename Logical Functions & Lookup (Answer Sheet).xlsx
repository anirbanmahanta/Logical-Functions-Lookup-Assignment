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WS\Assignment\Module1- Exel Assignment\3. Logical Functions &amp; Lookup\"/>
    </mc:Choice>
  </mc:AlternateContent>
  <xr:revisionPtr revIDLastSave="0" documentId="13_ncr:1_{28079DC9-228B-4BB6-95EC-EBAD31A04186}" xr6:coauthVersionLast="47" xr6:coauthVersionMax="47" xr10:uidLastSave="{00000000-0000-0000-0000-000000000000}"/>
  <bookViews>
    <workbookView xWindow="-110" yWindow="-110" windowWidth="19420" windowHeight="10420" xr2:uid="{E9D45652-B6C3-40B0-B3B9-B8184B5CE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2" i="1" l="1"/>
  <c r="F63" i="1"/>
  <c r="G54" i="1"/>
  <c r="G55" i="1"/>
  <c r="G56" i="1"/>
  <c r="F44" i="1"/>
  <c r="G36" i="1"/>
  <c r="E25" i="1" l="1" a="1"/>
  <c r="E25" i="1" s="1"/>
  <c r="E26" i="1" a="1"/>
  <c r="E26" i="1" s="1"/>
  <c r="E27" i="1" a="1"/>
  <c r="E27" i="1" s="1"/>
  <c r="E28" i="1" a="1"/>
  <c r="E28" i="1" s="1"/>
  <c r="E29" i="1" a="1"/>
  <c r="E29" i="1" s="1"/>
  <c r="F17" i="1"/>
  <c r="F16" i="1"/>
  <c r="F15" i="1"/>
  <c r="F14" i="1"/>
  <c r="E4" i="1"/>
  <c r="E5" i="1"/>
  <c r="E6" i="1"/>
  <c r="E7" i="1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<sst xmlns="http://schemas.openxmlformats.org/spreadsheetml/2006/main" count="97" uniqueCount="75">
  <si>
    <t>Question 1.</t>
  </si>
  <si>
    <t xml:space="preserve">Answer </t>
  </si>
  <si>
    <t>Students Name</t>
  </si>
  <si>
    <t>Marks</t>
  </si>
  <si>
    <t>Riya</t>
  </si>
  <si>
    <t>Siya</t>
  </si>
  <si>
    <t>Raju</t>
  </si>
  <si>
    <t>Rahul</t>
  </si>
  <si>
    <t>Ram</t>
  </si>
  <si>
    <t>Result</t>
  </si>
  <si>
    <t>Write a formula to check if the marks in cell  are greater than or equal to 40. If yes , return "Pass" otherwise "Fail"</t>
  </si>
  <si>
    <t>Formula: =IF(D3&gt;=40, "Pass", "Fail")</t>
  </si>
  <si>
    <t>Question 2.</t>
  </si>
  <si>
    <t>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</si>
  <si>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</si>
  <si>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</si>
  <si>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</si>
  <si>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</si>
  <si>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</si>
  <si>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</si>
  <si>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</si>
  <si>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</si>
  <si>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Formula: =IF(AND(D17&gt;40000, E17&gt;=90), "BONUS", "NO BONUS")</t>
  </si>
  <si>
    <t>Criteria - Sales &gt;40000 + Attendance &gt;=90%</t>
  </si>
  <si>
    <t>Question 3.</t>
  </si>
  <si>
    <t>Write a nested IF formula: If marks in B2 are ≥ 90 → "A" ≥ 75 → "B" ≥ 50 → "C" otherwise "Fail"</t>
  </si>
  <si>
    <t>Raj</t>
  </si>
  <si>
    <t>Neha</t>
  </si>
  <si>
    <t>Vivek</t>
  </si>
  <si>
    <t>Rani</t>
  </si>
  <si>
    <t>Sneha</t>
  </si>
  <si>
    <t>Formula: =IFS(D25&gt;=90, "A", D25&gt;=75, "B", D25&gt;=50, "C", D25&lt;50, "Fail")</t>
  </si>
  <si>
    <t>Question 4.</t>
  </si>
  <si>
    <t>Find the Department of Employee ID = E103. Also explain which LOOKUP function is used and why?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</si>
  <si>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</si>
  <si>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</si>
  <si>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</si>
  <si>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</si>
  <si>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</si>
  <si>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</si>
  <si>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</si>
  <si>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</si>
  <si>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</si>
  <si>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</si>
  <si>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</si>
  <si>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</si>
  <si>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Here "VLOOKUP" function works becouse we look up for the result in verticle data.</t>
  </si>
  <si>
    <t>Formula: =VLOOKUP(C37,C34:E38, 3,FALSE)</t>
  </si>
  <si>
    <t>Question 5.</t>
  </si>
  <si>
    <t>Sales Amount</t>
  </si>
  <si>
    <t>Commission Rate</t>
  </si>
  <si>
    <t>A company has set the following commission structure for its sales team, If a salesperson achieves sales of ₹45,000, use the VLOOKUP function to determine the commission rate applicable</t>
  </si>
  <si>
    <t>Formula: =VLOOKUP(45000,C44:D47,2,TRUE)</t>
  </si>
  <si>
    <t>Question 6.</t>
  </si>
  <si>
    <t>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</si>
  <si>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</si>
  <si>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</si>
  <si>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</si>
  <si>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</si>
  <si>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</si>
  <si>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</si>
  <si>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"OK".</t>
  </si>
  <si>
    <t>Formula: =IF(D54&gt;E54, "Exeeded","OK")</t>
  </si>
  <si>
    <t>Question 7.</t>
  </si>
  <si>
    <t>Find the salary of EmpID = E105 using INDEX-MATCH Function.</t>
  </si>
  <si>
    <t>Use the XLOOKUP function to find the Department of the employee with Emp ID = E303.</t>
  </si>
  <si>
    <t>Question 8.</t>
  </si>
  <si>
    <t>Emp ID</t>
  </si>
  <si>
    <t>Salary</t>
  </si>
  <si>
    <t>E105</t>
  </si>
  <si>
    <t>E106</t>
  </si>
  <si>
    <t>E303</t>
  </si>
  <si>
    <t>E301</t>
  </si>
  <si>
    <t>Formula: =INDEX(D62:D65,MATCH("E105",C62:C65,0))</t>
  </si>
  <si>
    <t>Formula: =XLOOKUP("E303",C72:C75,D72:D75)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</si>
</sst>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0" xfId="1" applyNumberFormat="1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CE5-3F88-449F-8FCC-5354D0E7761B}">
  <dimension ref="A1:P75"/>
  <sheetViews>
    <sheetView tabSelected="1" workbookViewId="0">
      <selection activeCell="F76" sqref="F76"/>
    </sheetView>
  </sheetViews>
  <sheetFormatPr defaultRowHeight="14.5" x14ac:dyDescent="0.35"/>
  <cols>
    <col min="1" max="1" width="10.36328125" bestFit="1" customWidth="1"/>
    <col min="3" max="3" width="14.6328125" customWidth="1"/>
    <col min="4" max="4" width="15.1796875" customWidth="1"/>
    <col min="5" max="5" width="13.453125" customWidth="1"/>
    <col min="6" max="6" width="9.81640625" customWidth="1"/>
  </cols>
  <sheetData>
    <row r="1" spans="1:14" x14ac:dyDescent="0.35">
      <c r="A1" s="1" t="s">
        <v>0</v>
      </c>
      <c r="B1" t="s">
        <v>10</v>
      </c>
    </row>
    <row r="3" spans="1:14" x14ac:dyDescent="0.35">
      <c r="A3" s="2" t="s">
        <v>1</v>
      </c>
      <c r="C3" s="6" t="s">
        <v>2</v>
      </c>
      <c r="D3" s="6" t="s">
        <v>3</v>
      </c>
      <c r="E3" s="6" t="s">
        <v>9</v>
      </c>
      <c r="G3" s="4" t="s">
        <v>11</v>
      </c>
      <c r="H3" s="5"/>
      <c r="I3" s="5"/>
      <c r="J3" s="5"/>
    </row>
    <row r="4" spans="1:14" x14ac:dyDescent="0.35">
      <c r="C4" s="3" t="s">
        <v>4</v>
      </c>
      <c r="D4" s="3">
        <v>45</v>
      </c>
      <c r="E4" s="3" t="str">
        <f>IF(D3&gt;=40, "Pass", "Fail")</f>
        <v>Pass</v>
      </c>
    </row>
    <row r="5" spans="1:14" x14ac:dyDescent="0.35">
      <c r="C5" s="3" t="s">
        <v>5</v>
      </c>
      <c r="D5" s="3">
        <v>72</v>
      </c>
      <c r="E5" s="3" t="str">
        <f t="shared" ref="E5:E8" si="0">IF(D4&gt;=40, "Pass", "Fail")</f>
        <v>Pass</v>
      </c>
    </row>
    <row r="6" spans="1:14" x14ac:dyDescent="0.35">
      <c r="C6" s="3" t="s">
        <v>6</v>
      </c>
      <c r="D6" s="3">
        <v>55</v>
      </c>
      <c r="E6" s="3" t="str">
        <f t="shared" si="0"/>
        <v>Pass</v>
      </c>
    </row>
    <row r="7" spans="1:14" x14ac:dyDescent="0.35">
      <c r="C7" s="3" t="s">
        <v>7</v>
      </c>
      <c r="D7" s="3">
        <v>80</v>
      </c>
      <c r="E7" s="3" t="str">
        <f t="shared" si="0"/>
        <v>Pass</v>
      </c>
    </row>
    <row r="8" spans="1:14" x14ac:dyDescent="0.35">
      <c r="C8" s="3" t="s">
        <v>8</v>
      </c>
      <c r="D8" s="3">
        <v>30</v>
      </c>
      <c r="E8" s="3" t="str">
        <f t="shared" si="0"/>
        <v>Pass</v>
      </c>
    </row>
    <row r="11" spans="1:14" x14ac:dyDescent="0.35">
      <c r="A11" s="1" t="s">
        <v>12</v>
      </c>
      <c r="B11" t="s">
        <v>13</v>
      </c>
    </row>
    <row r="13" spans="1:14" x14ac:dyDescent="0.35">
      <c r="C13" s="6" t="s">
        <v>14</v>
      </c>
      <c r="D13" s="6" t="s">
        <v>15</v>
      </c>
      <c r="E13" s="6" t="s">
        <v>16</v>
      </c>
      <c r="F13" s="6" t="s">
        <v>21</v>
      </c>
    </row>
    <row r="14" spans="1:14" x14ac:dyDescent="0.35">
      <c r="C14" s="3" t="s">
        <v>17</v>
      </c>
      <c r="D14" s="3">
        <v>55000</v>
      </c>
      <c r="E14" s="3">
        <v>95</v>
      </c>
      <c r="F14" s="3" t="str">
        <f>IF(AND(D14&gt;40000, E14&gt;=90), "BONUS", "NO BONUS")</f>
        <v>BONUS</v>
      </c>
    </row>
    <row r="15" spans="1:14" x14ac:dyDescent="0.35">
      <c r="C15" s="3" t="s">
        <v>18</v>
      </c>
      <c r="D15" s="3">
        <v>65000</v>
      </c>
      <c r="E15" s="3">
        <v>85</v>
      </c>
      <c r="F15" s="3" t="str">
        <f>IF(AND(D15&gt;40000, E15&gt;=90), "BONUS", "NO BONUS")</f>
        <v>NO BONUS</v>
      </c>
      <c r="H15" s="5" t="s">
        <v>22</v>
      </c>
      <c r="I15" s="5"/>
      <c r="J15" s="5"/>
      <c r="K15" s="5"/>
      <c r="L15" s="5"/>
      <c r="M15" s="5"/>
      <c r="N15" s="5"/>
    </row>
    <row r="16" spans="1:14" x14ac:dyDescent="0.35">
      <c r="C16" s="3" t="s">
        <v>19</v>
      </c>
      <c r="D16" s="3">
        <v>30000</v>
      </c>
      <c r="E16" s="3">
        <v>90</v>
      </c>
      <c r="F16" s="3" t="str">
        <f>IF(AND(D16&gt;40000, E16&gt;=90), "BONUS", "NO BONUS")</f>
        <v>NO BONUS</v>
      </c>
    </row>
    <row r="17" spans="1:13" x14ac:dyDescent="0.35">
      <c r="C17" s="3" t="s">
        <v>20</v>
      </c>
      <c r="D17" s="3">
        <v>25000</v>
      </c>
      <c r="E17" s="3">
        <v>65</v>
      </c>
      <c r="F17" s="3" t="str">
        <f>IF(AND(D17&gt;40000, E17&gt;=90), "BONUS", "NO BONUS")</f>
        <v>NO BONUS</v>
      </c>
    </row>
    <row r="19" spans="1:13" x14ac:dyDescent="0.35">
      <c r="C19" s="7" t="s">
        <v>23</v>
      </c>
      <c r="D19" s="7"/>
      <c r="E19" s="7"/>
      <c r="F19" s="7"/>
    </row>
    <row r="22" spans="1:13" x14ac:dyDescent="0.35">
      <c r="A22" s="1" t="s">
        <v>24</v>
      </c>
      <c r="B22" t="s">
        <v>25</v>
      </c>
    </row>
    <row r="24" spans="1:13" x14ac:dyDescent="0.35">
      <c r="A24" s="2" t="s">
        <v>1</v>
      </c>
      <c r="C24" s="6" t="s">
        <v>2</v>
      </c>
      <c r="D24" s="6" t="s">
        <v>3</v>
      </c>
      <c r="E24" s="6" t="s">
        <v>9</v>
      </c>
    </row>
    <row r="25" spans="1:13" x14ac:dyDescent="0.35">
      <c r="C25" s="3" t="s">
        <v>26</v>
      </c>
      <c r="D25" s="3">
        <v>85</v>
      </c>
      <c r="E25" s="3" t="str" cm="1">
        <f t="array" ref="E25">_xlfn.IFS(D25&gt;=90, "A", D25&gt;=75, "B", D25&gt;=50, "C", D25&lt;50, "Fail")</f>
        <v>B</v>
      </c>
      <c r="G25" s="5" t="s">
        <v>31</v>
      </c>
      <c r="H25" s="5"/>
      <c r="I25" s="5"/>
      <c r="J25" s="5"/>
      <c r="K25" s="5"/>
      <c r="L25" s="5"/>
      <c r="M25" s="5"/>
    </row>
    <row r="26" spans="1:13" x14ac:dyDescent="0.35">
      <c r="C26" s="3" t="s">
        <v>27</v>
      </c>
      <c r="D26" s="3">
        <v>96</v>
      </c>
      <c r="E26" s="3" t="str" cm="1">
        <f t="array" ref="E26">_xlfn.IFS(D26&gt;=90, "A", D26&gt;=75, "B", D26&gt;=50, "C", D26&lt;50, "Fail")</f>
        <v>A</v>
      </c>
    </row>
    <row r="27" spans="1:13" x14ac:dyDescent="0.35">
      <c r="C27" s="3" t="s">
        <v>28</v>
      </c>
      <c r="D27" s="3">
        <v>57</v>
      </c>
      <c r="E27" s="3" t="str" cm="1">
        <f t="array" ref="E27">_xlfn.IFS(D27&gt;=90, "A", D27&gt;=75, "B", D27&gt;=50, "C", D27&lt;50, "Fail")</f>
        <v>C</v>
      </c>
    </row>
    <row r="28" spans="1:13" x14ac:dyDescent="0.35">
      <c r="C28" s="3" t="s">
        <v>29</v>
      </c>
      <c r="D28" s="3">
        <v>92</v>
      </c>
      <c r="E28" s="3" t="str" cm="1">
        <f t="array" ref="E28">_xlfn.IFS(D28&gt;=90, "A", D28&gt;=75, "B", D28&gt;=50, "C", D28&lt;50, "Fail")</f>
        <v>A</v>
      </c>
    </row>
    <row r="29" spans="1:13" x14ac:dyDescent="0.35">
      <c r="C29" s="3" t="s">
        <v>30</v>
      </c>
      <c r="D29" s="3">
        <v>75</v>
      </c>
      <c r="E29" s="3" t="str" cm="1">
        <f t="array" ref="E29">_xlfn.IFS(D29&gt;=90, "A", D29&gt;=75, "B", D29&gt;=50, "C", D29&lt;50, "Fail")</f>
        <v>B</v>
      </c>
    </row>
    <row r="32" spans="1:13" x14ac:dyDescent="0.35">
      <c r="A32" s="1" t="s">
        <v>32</v>
      </c>
      <c r="B32" t="s">
        <v>33</v>
      </c>
    </row>
    <row r="34" spans="1:16" x14ac:dyDescent="0.35">
      <c r="A34" s="2" t="s">
        <v>1</v>
      </c>
      <c r="C34" s="6" t="s">
        <v>34</v>
      </c>
      <c r="D34" s="6" t="s">
        <v>35</v>
      </c>
      <c r="E34" s="6" t="s">
        <v>36</v>
      </c>
      <c r="I34" s="8" t="s">
        <v>46</v>
      </c>
      <c r="J34" s="7"/>
      <c r="K34" s="7"/>
      <c r="L34" s="7"/>
      <c r="M34" s="7"/>
      <c r="N34" s="7"/>
      <c r="O34" s="7"/>
      <c r="P34" s="7"/>
    </row>
    <row r="35" spans="1:16" x14ac:dyDescent="0.35">
      <c r="C35" s="3" t="s">
        <v>37</v>
      </c>
      <c r="D35" s="3" t="s">
        <v>6</v>
      </c>
      <c r="E35" s="3" t="s">
        <v>43</v>
      </c>
    </row>
    <row r="36" spans="1:16" x14ac:dyDescent="0.35">
      <c r="C36" s="3" t="s">
        <v>38</v>
      </c>
      <c r="D36" s="3" t="s">
        <v>4</v>
      </c>
      <c r="E36" s="3" t="s">
        <v>44</v>
      </c>
      <c r="G36" t="str">
        <f>VLOOKUP(C37,C34:E38, 3,FALSE)</f>
        <v>Finance</v>
      </c>
    </row>
    <row r="37" spans="1:16" x14ac:dyDescent="0.35">
      <c r="C37" s="3" t="s">
        <v>39</v>
      </c>
      <c r="D37" s="3" t="s">
        <v>41</v>
      </c>
      <c r="E37" s="3" t="s">
        <v>45</v>
      </c>
      <c r="I37" s="4" t="s">
        <v>47</v>
      </c>
      <c r="J37" s="5"/>
      <c r="K37" s="5"/>
      <c r="L37" s="5"/>
      <c r="M37" s="5"/>
    </row>
    <row r="38" spans="1:16" x14ac:dyDescent="0.35">
      <c r="C38" s="3" t="s">
        <v>40</v>
      </c>
      <c r="D38" s="3" t="s">
        <v>42</v>
      </c>
      <c r="E38" s="3" t="s">
        <v>15</v>
      </c>
    </row>
    <row r="41" spans="1:16" x14ac:dyDescent="0.35">
      <c r="A41" s="1" t="s">
        <v>48</v>
      </c>
      <c r="B41" t="s">
        <v>51</v>
      </c>
    </row>
    <row r="43" spans="1:16" x14ac:dyDescent="0.35">
      <c r="A43" s="2" t="s">
        <v>1</v>
      </c>
      <c r="C43" s="6" t="s">
        <v>49</v>
      </c>
      <c r="D43" s="6" t="s">
        <v>50</v>
      </c>
    </row>
    <row r="44" spans="1:16" x14ac:dyDescent="0.35">
      <c r="C44" s="3">
        <v>0</v>
      </c>
      <c r="D44" s="3">
        <v>5</v>
      </c>
      <c r="F44" s="9">
        <f>VLOOKUP(45000,C44:D47,2,TRUE)</f>
        <v>10</v>
      </c>
      <c r="H44" s="5" t="s">
        <v>52</v>
      </c>
      <c r="I44" s="5"/>
      <c r="J44" s="5"/>
      <c r="K44" s="5"/>
      <c r="L44" s="5"/>
    </row>
    <row r="45" spans="1:16" x14ac:dyDescent="0.35">
      <c r="C45" s="3">
        <v>20000</v>
      </c>
      <c r="D45" s="3">
        <v>10</v>
      </c>
    </row>
    <row r="46" spans="1:16" x14ac:dyDescent="0.35">
      <c r="C46" s="3">
        <v>50000</v>
      </c>
      <c r="D46" s="3">
        <v>15</v>
      </c>
    </row>
    <row r="47" spans="1:16" x14ac:dyDescent="0.35">
      <c r="C47" s="3">
        <v>80000</v>
      </c>
      <c r="D47" s="3">
        <v>20</v>
      </c>
    </row>
    <row r="50" spans="1:13" x14ac:dyDescent="0.35">
      <c r="A50" s="1" t="s">
        <v>53</v>
      </c>
      <c r="B50" t="s">
        <v>54</v>
      </c>
    </row>
    <row r="51" spans="1:13" x14ac:dyDescent="0.35">
      <c r="A51" s="1"/>
      <c r="B51" t="s">
        <v>61</v>
      </c>
    </row>
    <row r="53" spans="1:13" x14ac:dyDescent="0.35">
      <c r="A53" s="2" t="s">
        <v>1</v>
      </c>
      <c r="C53" s="6" t="s">
        <v>55</v>
      </c>
      <c r="D53" s="6" t="s">
        <v>56</v>
      </c>
      <c r="E53" s="6" t="s">
        <v>57</v>
      </c>
    </row>
    <row r="54" spans="1:13" x14ac:dyDescent="0.35">
      <c r="C54" s="3" t="s">
        <v>58</v>
      </c>
      <c r="D54" s="3">
        <v>10</v>
      </c>
      <c r="E54" s="3">
        <v>12</v>
      </c>
      <c r="G54" s="10" t="str">
        <f>IF(D54&gt;E54, "Exeeded","OK")</f>
        <v>OK</v>
      </c>
      <c r="I54" s="5" t="s">
        <v>62</v>
      </c>
      <c r="J54" s="5"/>
      <c r="K54" s="5"/>
      <c r="L54" s="5"/>
    </row>
    <row r="55" spans="1:13" x14ac:dyDescent="0.35">
      <c r="C55" s="3" t="s">
        <v>59</v>
      </c>
      <c r="D55" s="3">
        <v>10</v>
      </c>
      <c r="E55" s="3">
        <v>15</v>
      </c>
      <c r="G55" s="10" t="str">
        <f>IF(D55&gt;E55, "Exeeded","OK")</f>
        <v>OK</v>
      </c>
    </row>
    <row r="56" spans="1:13" x14ac:dyDescent="0.35">
      <c r="C56" s="3" t="s">
        <v>60</v>
      </c>
      <c r="D56" s="3">
        <v>8</v>
      </c>
      <c r="E56" s="3">
        <v>12</v>
      </c>
      <c r="G56" s="10" t="str">
        <f>IF(D56&gt;E56, "Exeeded","OK")</f>
        <v>OK</v>
      </c>
    </row>
    <row r="59" spans="1:13" x14ac:dyDescent="0.35">
      <c r="A59" s="1" t="s">
        <v>63</v>
      </c>
      <c r="B59" t="s">
        <v>64</v>
      </c>
    </row>
    <row r="61" spans="1:13" x14ac:dyDescent="0.35">
      <c r="A61" s="2" t="s">
        <v>1</v>
      </c>
      <c r="C61" s="6" t="s">
        <v>67</v>
      </c>
      <c r="D61" s="6" t="s">
        <v>68</v>
      </c>
    </row>
    <row r="62" spans="1:13" x14ac:dyDescent="0.35">
      <c r="C62" s="3" t="s">
        <v>40</v>
      </c>
      <c r="D62" s="3">
        <v>55000</v>
      </c>
    </row>
    <row r="63" spans="1:13" x14ac:dyDescent="0.35">
      <c r="C63" s="3" t="s">
        <v>69</v>
      </c>
      <c r="D63" s="3">
        <v>72000</v>
      </c>
      <c r="F63">
        <f>INDEX(D62:D65,MATCH("E105",C62:C65,0))</f>
        <v>72000</v>
      </c>
      <c r="H63" s="5" t="s">
        <v>73</v>
      </c>
      <c r="I63" s="5"/>
      <c r="J63" s="5"/>
      <c r="K63" s="5"/>
      <c r="L63" s="5"/>
      <c r="M63" s="5"/>
    </row>
    <row r="64" spans="1:13" x14ac:dyDescent="0.35">
      <c r="C64" s="3" t="s">
        <v>70</v>
      </c>
      <c r="D64" s="3">
        <v>62000</v>
      </c>
    </row>
    <row r="65" spans="1:12" x14ac:dyDescent="0.35">
      <c r="C65" s="3" t="s">
        <v>38</v>
      </c>
      <c r="D65" s="3">
        <v>41000</v>
      </c>
    </row>
    <row r="69" spans="1:12" x14ac:dyDescent="0.35">
      <c r="A69" s="1" t="s">
        <v>66</v>
      </c>
      <c r="B69" t="s">
        <v>65</v>
      </c>
    </row>
    <row r="71" spans="1:12" x14ac:dyDescent="0.35">
      <c r="A71" s="2" t="s">
        <v>1</v>
      </c>
      <c r="C71" s="6" t="s">
        <v>67</v>
      </c>
      <c r="D71" s="6" t="s">
        <v>68</v>
      </c>
    </row>
    <row r="72" spans="1:12" x14ac:dyDescent="0.35">
      <c r="C72" s="3" t="s">
        <v>37</v>
      </c>
      <c r="D72" s="3" t="s">
        <v>44</v>
      </c>
      <c r="F72" s="11" t="str">
        <f>_xlfn.XLOOKUP("E303",C72:C75,D72:D75)</f>
        <v>IT</v>
      </c>
      <c r="H72" s="5" t="s">
        <v>74</v>
      </c>
      <c r="I72" s="5"/>
      <c r="J72" s="5"/>
      <c r="K72" s="5"/>
      <c r="L72" s="5"/>
    </row>
    <row r="73" spans="1:12" x14ac:dyDescent="0.35">
      <c r="C73" s="3" t="s">
        <v>71</v>
      </c>
      <c r="D73" s="3" t="s">
        <v>43</v>
      </c>
    </row>
    <row r="74" spans="1:12" x14ac:dyDescent="0.35">
      <c r="C74" s="3" t="s">
        <v>70</v>
      </c>
      <c r="D74" s="3" t="s">
        <v>15</v>
      </c>
    </row>
    <row r="75" spans="1:12" x14ac:dyDescent="0.35">
      <c r="C75" s="3" t="s">
        <v>72</v>
      </c>
      <c r="D75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Mahanta</dc:creator>
  <cp:lastModifiedBy>Anirban Mahanta</cp:lastModifiedBy>
  <dcterms:created xsi:type="dcterms:W3CDTF">2026-01-10T05:41:15Z</dcterms:created>
  <dcterms:modified xsi:type="dcterms:W3CDTF">2026-01-11T13:30:34Z</dcterms:modified>
</cp:coreProperties>
</file>